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54D62531-E1BE-4847-8924-3CE014BA90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O14" i="1"/>
  <c r="O13" i="1"/>
  <c r="O12" i="1"/>
  <c r="O16" i="1"/>
  <c r="O17" i="1"/>
  <c r="O18" i="1"/>
  <c r="O19" i="1"/>
  <c r="O20" i="1"/>
  <c r="O11" i="1"/>
</calcChain>
</file>

<file path=xl/sharedStrings.xml><?xml version="1.0" encoding="utf-8"?>
<sst xmlns="http://schemas.openxmlformats.org/spreadsheetml/2006/main" count="53" uniqueCount="21">
  <si>
    <t xml:space="preserve">Trafik Kaza Gösterge  </t>
  </si>
  <si>
    <t xml:space="preserve">Ölümlü Yaralanmalı Kaza Sayısı  </t>
  </si>
  <si>
    <t xml:space="preserve">Ölü Sayısı  </t>
  </si>
  <si>
    <t xml:space="preserve">Yaralı Sayısı  </t>
  </si>
  <si>
    <t xml:space="preserve">Kaza Ölüm Durum  </t>
  </si>
  <si>
    <t xml:space="preserve">-  </t>
  </si>
  <si>
    <t xml:space="preserve">Toplam  </t>
  </si>
  <si>
    <t xml:space="preserve">Kaza Yerinde  </t>
  </si>
  <si>
    <t xml:space="preserve">Kaza Sonrası (30 Gün)  </t>
  </si>
  <si>
    <t xml:space="preserve">Gün Işığı Durum  </t>
  </si>
  <si>
    <t xml:space="preserve">  </t>
  </si>
  <si>
    <t>YEAR</t>
  </si>
  <si>
    <t>DAYLIGHT</t>
  </si>
  <si>
    <t>ACCIDENTS</t>
  </si>
  <si>
    <t>FATALITIES</t>
  </si>
  <si>
    <t>FATALITY RATE (FATALITY / ACCIDENTS)</t>
  </si>
  <si>
    <t>Day</t>
  </si>
  <si>
    <t xml:space="preserve">Gündüz  </t>
  </si>
  <si>
    <t>Night</t>
  </si>
  <si>
    <t xml:space="preserve">Gece  </t>
  </si>
  <si>
    <t xml:space="preserve">Alacakaranlık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</si>
</sst>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Sayfa1!$O$8:$O$9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Sayfa1!$L$10:$L$40</c:f>
              <c:strCache>
                <c:ptCount val="11"/>
                <c:pt idx="0">
                  <c:v>DAYLIGHT</c:v>
                </c:pt>
                <c:pt idx="1">
                  <c:v>Day</c:v>
                </c:pt>
                <c:pt idx="2">
                  <c:v>Night</c:v>
                </c:pt>
                <c:pt idx="3">
                  <c:v>Day</c:v>
                </c:pt>
                <c:pt idx="4">
                  <c:v>Night</c:v>
                </c:pt>
                <c:pt idx="5">
                  <c:v>Day</c:v>
                </c:pt>
                <c:pt idx="6">
                  <c:v>Night</c:v>
                </c:pt>
                <c:pt idx="7">
                  <c:v>Day</c:v>
                </c:pt>
                <c:pt idx="8">
                  <c:v>Night</c:v>
                </c:pt>
                <c:pt idx="9">
                  <c:v>Day</c:v>
                </c:pt>
                <c:pt idx="10">
                  <c:v>Night</c:v>
                </c:pt>
              </c:strCache>
            </c:strRef>
          </c:cat>
          <c:val>
            <c:numRef>
              <c:f>Sayfa1!$O$10:$O$40</c:f>
              <c:numCache>
                <c:formatCode>General</c:formatCode>
                <c:ptCount val="31"/>
                <c:pt idx="0">
                  <c:v>0</c:v>
                </c:pt>
                <c:pt idx="1">
                  <c:v>2.7769492334307703E-2</c:v>
                </c:pt>
                <c:pt idx="2">
                  <c:v>4.1755255024877806E-2</c:v>
                </c:pt>
                <c:pt idx="3">
                  <c:v>2.4667037483390501E-2</c:v>
                </c:pt>
                <c:pt idx="4">
                  <c:v>3.6758234556111082E-2</c:v>
                </c:pt>
                <c:pt idx="5">
                  <c:v>2.3134786264572871E-2</c:v>
                </c:pt>
                <c:pt idx="6">
                  <c:v>3.2971944053629063E-2</c:v>
                </c:pt>
                <c:pt idx="7">
                  <c:v>2.4412763594571212E-2</c:v>
                </c:pt>
                <c:pt idx="8">
                  <c:v>3.3937256159478381E-2</c:v>
                </c:pt>
                <c:pt idx="9">
                  <c:v>2.106325861000849E-2</c:v>
                </c:pt>
                <c:pt idx="10">
                  <c:v>2.8487275070182706E-2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3-42AF-A9E9-20D60AD10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132487"/>
        <c:axId val="810134535"/>
      </c:barChart>
      <c:catAx>
        <c:axId val="81013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34535"/>
        <c:crosses val="autoZero"/>
        <c:auto val="1"/>
        <c:lblAlgn val="ctr"/>
        <c:lblOffset val="100"/>
        <c:noMultiLvlLbl val="0"/>
      </c:catAx>
      <c:valAx>
        <c:axId val="810134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3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20</xdr:row>
      <xdr:rowOff>180975</xdr:rowOff>
    </xdr:from>
    <xdr:to>
      <xdr:col>22</xdr:col>
      <xdr:colOff>0</xdr:colOff>
      <xdr:row>37</xdr:row>
      <xdr:rowOff>95250</xdr:rowOff>
    </xdr:to>
    <xdr:graphicFrame macro="">
      <xdr:nvGraphicFramePr>
        <xdr:cNvPr id="3" name="Çizelge 2">
          <a:extLst>
            <a:ext uri="{FF2B5EF4-FFF2-40B4-BE49-F238E27FC236}">
              <a16:creationId xmlns:a16="http://schemas.microsoft.com/office/drawing/2014/main" id="{E81CDC60-ABDA-2CC0-F863-71FCF564FBF1}"/>
            </a:ext>
            <a:ext uri="{147F2762-F138-4A5C-976F-8EAC2B608ADB}">
              <a16:predDERef xmlns:a16="http://schemas.microsoft.com/office/drawing/2014/main" pred="{70AC9C20-36D8-81E1-83E7-B4EA93145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O40"/>
  <sheetViews>
    <sheetView tabSelected="1" topLeftCell="A10" workbookViewId="0">
      <selection activeCell="O1" activeCellId="1" sqref="L1:L1048576 O1:O1048576"/>
    </sheetView>
  </sheetViews>
  <sheetFormatPr defaultRowHeight="15"/>
  <cols>
    <col min="12" max="12" width="10.5703125" customWidth="1"/>
    <col min="13" max="13" width="15" customWidth="1"/>
    <col min="14" max="14" width="12.140625" customWidth="1"/>
    <col min="15" max="15" width="36.42578125" customWidth="1"/>
  </cols>
  <sheetData>
    <row r="8" spans="1:15" ht="60.75">
      <c r="B8" s="1" t="s">
        <v>0</v>
      </c>
      <c r="C8" s="2" t="s">
        <v>1</v>
      </c>
      <c r="D8" s="3" t="s">
        <v>2</v>
      </c>
      <c r="E8" s="3" t="s">
        <v>2</v>
      </c>
      <c r="F8" s="3" t="s">
        <v>2</v>
      </c>
      <c r="G8" s="2" t="s">
        <v>3</v>
      </c>
    </row>
    <row r="9" spans="1:15" ht="45.75">
      <c r="B9" s="1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5</v>
      </c>
    </row>
    <row r="10" spans="1:15">
      <c r="B10" s="1" t="s">
        <v>9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K10" s="6" t="s">
        <v>11</v>
      </c>
      <c r="L10" s="6" t="s">
        <v>12</v>
      </c>
      <c r="M10" s="6" t="s">
        <v>13</v>
      </c>
      <c r="N10" s="6" t="s">
        <v>14</v>
      </c>
      <c r="O10" s="7" t="s">
        <v>15</v>
      </c>
    </row>
    <row r="11" spans="1:15">
      <c r="A11">
        <v>2020</v>
      </c>
      <c r="B11" s="2" t="s">
        <v>6</v>
      </c>
      <c r="C11" s="5">
        <v>150275</v>
      </c>
      <c r="D11" s="5">
        <v>4866</v>
      </c>
      <c r="E11" s="5">
        <v>2197</v>
      </c>
      <c r="F11" s="5">
        <v>2669</v>
      </c>
      <c r="G11" s="5">
        <v>226266</v>
      </c>
      <c r="K11">
        <v>2020</v>
      </c>
      <c r="L11" t="s">
        <v>16</v>
      </c>
      <c r="M11" s="5">
        <v>100578</v>
      </c>
      <c r="N11" s="5">
        <v>2793</v>
      </c>
      <c r="O11">
        <f>(N11/M11)</f>
        <v>2.7769492334307703E-2</v>
      </c>
    </row>
    <row r="12" spans="1:15">
      <c r="B12" s="2" t="s">
        <v>17</v>
      </c>
      <c r="C12" s="5">
        <v>100578</v>
      </c>
      <c r="D12" s="5">
        <v>2793</v>
      </c>
      <c r="E12" s="5">
        <v>1195</v>
      </c>
      <c r="F12" s="5">
        <v>1598</v>
      </c>
      <c r="G12" s="5">
        <v>148870</v>
      </c>
      <c r="K12">
        <v>2020</v>
      </c>
      <c r="L12" t="s">
        <v>18</v>
      </c>
      <c r="M12" s="5">
        <v>45623</v>
      </c>
      <c r="N12" s="5">
        <v>1905</v>
      </c>
      <c r="O12">
        <f>(N12/M12)</f>
        <v>4.1755255024877806E-2</v>
      </c>
    </row>
    <row r="13" spans="1:15">
      <c r="B13" s="2" t="s">
        <v>19</v>
      </c>
      <c r="C13" s="5">
        <v>45623</v>
      </c>
      <c r="D13" s="5">
        <v>1905</v>
      </c>
      <c r="E13" s="5">
        <v>929</v>
      </c>
      <c r="F13" s="5">
        <v>976</v>
      </c>
      <c r="G13" s="5">
        <v>70923</v>
      </c>
      <c r="K13">
        <v>2021</v>
      </c>
      <c r="L13" t="s">
        <v>16</v>
      </c>
      <c r="M13" s="5">
        <v>129444</v>
      </c>
      <c r="N13" s="5">
        <v>3193</v>
      </c>
      <c r="O13">
        <f>(N13/M13)</f>
        <v>2.4667037483390501E-2</v>
      </c>
    </row>
    <row r="14" spans="1:15" ht="18" customHeight="1">
      <c r="B14" s="2" t="s">
        <v>20</v>
      </c>
      <c r="C14" s="5">
        <v>4074</v>
      </c>
      <c r="D14" s="5">
        <v>168</v>
      </c>
      <c r="E14" s="5">
        <v>73</v>
      </c>
      <c r="F14" s="5">
        <v>95</v>
      </c>
      <c r="G14" s="5">
        <v>6473</v>
      </c>
      <c r="K14">
        <v>2021</v>
      </c>
      <c r="L14" t="s">
        <v>18</v>
      </c>
      <c r="M14" s="5">
        <v>53403</v>
      </c>
      <c r="N14" s="5">
        <v>1963</v>
      </c>
      <c r="O14">
        <f>(N14/M14)</f>
        <v>3.6758234556111082E-2</v>
      </c>
    </row>
    <row r="15" spans="1:15">
      <c r="K15">
        <v>2022</v>
      </c>
      <c r="L15" t="s">
        <v>16</v>
      </c>
      <c r="M15" s="5">
        <v>132009</v>
      </c>
      <c r="N15" s="5">
        <v>3054</v>
      </c>
      <c r="O15">
        <f>(N15/M15)</f>
        <v>2.3134786264572871E-2</v>
      </c>
    </row>
    <row r="16" spans="1:15">
      <c r="K16">
        <v>2022</v>
      </c>
      <c r="L16" t="s">
        <v>18</v>
      </c>
      <c r="M16" s="5">
        <v>60415</v>
      </c>
      <c r="N16" s="5">
        <v>1992</v>
      </c>
      <c r="O16">
        <f t="shared" ref="O12:O20" si="0">(N16/M16)</f>
        <v>3.2971944053629063E-2</v>
      </c>
    </row>
    <row r="17" spans="1:15">
      <c r="K17">
        <v>2023</v>
      </c>
      <c r="L17" t="s">
        <v>16</v>
      </c>
      <c r="M17" s="5">
        <v>154878</v>
      </c>
      <c r="N17" s="5">
        <v>3781</v>
      </c>
      <c r="O17">
        <f t="shared" si="0"/>
        <v>2.4412763594571212E-2</v>
      </c>
    </row>
    <row r="18" spans="1:15">
      <c r="K18">
        <v>2023</v>
      </c>
      <c r="L18" t="s">
        <v>18</v>
      </c>
      <c r="M18" s="5">
        <v>74844</v>
      </c>
      <c r="N18" s="5">
        <v>2540</v>
      </c>
      <c r="O18">
        <f t="shared" si="0"/>
        <v>3.3937256159478381E-2</v>
      </c>
    </row>
    <row r="19" spans="1:15">
      <c r="A19">
        <v>2021</v>
      </c>
      <c r="B19" s="2" t="s">
        <v>6</v>
      </c>
      <c r="C19" s="5">
        <v>187963</v>
      </c>
      <c r="D19" s="5">
        <v>5362</v>
      </c>
      <c r="E19" s="5">
        <v>2421</v>
      </c>
      <c r="F19" s="5">
        <v>2941</v>
      </c>
      <c r="G19" s="5">
        <v>274615</v>
      </c>
      <c r="K19">
        <v>2024</v>
      </c>
      <c r="L19" t="s">
        <v>16</v>
      </c>
      <c r="M19" s="5">
        <v>174332</v>
      </c>
      <c r="N19" s="5">
        <v>3672</v>
      </c>
      <c r="O19">
        <f t="shared" si="0"/>
        <v>2.106325861000849E-2</v>
      </c>
    </row>
    <row r="20" spans="1:15">
      <c r="B20" s="2" t="s">
        <v>17</v>
      </c>
      <c r="C20" s="5">
        <v>129444</v>
      </c>
      <c r="D20" s="5">
        <v>3193</v>
      </c>
      <c r="E20" s="5">
        <v>1361</v>
      </c>
      <c r="F20" s="5">
        <v>1832</v>
      </c>
      <c r="G20" s="5">
        <v>186777</v>
      </c>
      <c r="K20">
        <v>2024</v>
      </c>
      <c r="L20" t="s">
        <v>18</v>
      </c>
      <c r="M20" s="5">
        <v>86916</v>
      </c>
      <c r="N20" s="5">
        <v>2476</v>
      </c>
      <c r="O20">
        <f t="shared" si="0"/>
        <v>2.8487275070182706E-2</v>
      </c>
    </row>
    <row r="21" spans="1:15">
      <c r="B21" s="2" t="s">
        <v>19</v>
      </c>
      <c r="C21" s="5">
        <v>53403</v>
      </c>
      <c r="D21" s="5">
        <v>1963</v>
      </c>
      <c r="E21" s="5">
        <v>955</v>
      </c>
      <c r="F21" s="5">
        <v>1008</v>
      </c>
      <c r="G21" s="5">
        <v>80127</v>
      </c>
    </row>
    <row r="22" spans="1:15" ht="30.75">
      <c r="B22" s="2" t="s">
        <v>20</v>
      </c>
      <c r="C22" s="5">
        <v>5116</v>
      </c>
      <c r="D22" s="5">
        <v>206</v>
      </c>
      <c r="E22" s="5">
        <v>105</v>
      </c>
      <c r="F22" s="5">
        <v>101</v>
      </c>
      <c r="G22" s="5">
        <v>7711</v>
      </c>
    </row>
    <row r="25" spans="1:15">
      <c r="A25">
        <v>2022</v>
      </c>
      <c r="B25" s="2" t="s">
        <v>6</v>
      </c>
      <c r="C25" s="5">
        <v>197261</v>
      </c>
      <c r="D25" s="5">
        <v>5229</v>
      </c>
      <c r="E25" s="5">
        <v>2282</v>
      </c>
      <c r="F25" s="5">
        <v>2947</v>
      </c>
      <c r="G25" s="5">
        <v>288696</v>
      </c>
    </row>
    <row r="26" spans="1:15">
      <c r="B26" s="2" t="s">
        <v>17</v>
      </c>
      <c r="C26" s="5">
        <v>132009</v>
      </c>
      <c r="D26" s="5">
        <v>3054</v>
      </c>
      <c r="E26" s="5">
        <v>1233</v>
      </c>
      <c r="F26" s="5">
        <v>1821</v>
      </c>
      <c r="G26" s="5">
        <v>190960</v>
      </c>
    </row>
    <row r="27" spans="1:15">
      <c r="B27" s="2" t="s">
        <v>19</v>
      </c>
      <c r="C27" s="5">
        <v>60415</v>
      </c>
      <c r="D27" s="5">
        <v>1992</v>
      </c>
      <c r="E27" s="5">
        <v>954</v>
      </c>
      <c r="F27" s="5">
        <v>1038</v>
      </c>
      <c r="G27" s="5">
        <v>90426</v>
      </c>
    </row>
    <row r="28" spans="1:15" ht="30.75">
      <c r="B28" s="2" t="s">
        <v>20</v>
      </c>
      <c r="C28" s="5">
        <v>4837</v>
      </c>
      <c r="D28" s="5">
        <v>183</v>
      </c>
      <c r="E28" s="5">
        <v>95</v>
      </c>
      <c r="F28" s="5">
        <v>88</v>
      </c>
      <c r="G28" s="5">
        <v>7310</v>
      </c>
    </row>
    <row r="31" spans="1:15">
      <c r="A31">
        <v>2023</v>
      </c>
      <c r="B31" s="2" t="s">
        <v>6</v>
      </c>
      <c r="C31" s="5">
        <v>235071</v>
      </c>
      <c r="D31" s="5">
        <v>6548</v>
      </c>
      <c r="E31" s="5">
        <v>2984</v>
      </c>
      <c r="F31" s="5">
        <v>3564</v>
      </c>
      <c r="G31" s="5">
        <v>350855</v>
      </c>
    </row>
    <row r="32" spans="1:15">
      <c r="B32" s="2" t="s">
        <v>17</v>
      </c>
      <c r="C32" s="5">
        <v>154878</v>
      </c>
      <c r="D32" s="5">
        <v>3781</v>
      </c>
      <c r="E32" s="5">
        <v>1561</v>
      </c>
      <c r="F32" s="5">
        <v>2220</v>
      </c>
      <c r="G32" s="5">
        <v>228555</v>
      </c>
    </row>
    <row r="33" spans="1:7">
      <c r="B33" s="2" t="s">
        <v>19</v>
      </c>
      <c r="C33" s="5">
        <v>74844</v>
      </c>
      <c r="D33" s="5">
        <v>2540</v>
      </c>
      <c r="E33" s="5">
        <v>1300</v>
      </c>
      <c r="F33" s="5">
        <v>1240</v>
      </c>
      <c r="G33" s="5">
        <v>113888</v>
      </c>
    </row>
    <row r="34" spans="1:7" ht="30.75">
      <c r="B34" s="2" t="s">
        <v>20</v>
      </c>
      <c r="C34" s="5">
        <v>5349</v>
      </c>
      <c r="D34" s="5">
        <v>227</v>
      </c>
      <c r="E34" s="5">
        <v>123</v>
      </c>
      <c r="F34" s="5">
        <v>104</v>
      </c>
      <c r="G34" s="5">
        <v>8412</v>
      </c>
    </row>
    <row r="37" spans="1:7">
      <c r="A37">
        <v>2024</v>
      </c>
      <c r="B37" s="2" t="s">
        <v>6</v>
      </c>
      <c r="C37" s="5">
        <v>266854</v>
      </c>
      <c r="D37" s="5">
        <v>6351</v>
      </c>
      <c r="E37" s="5">
        <v>2713</v>
      </c>
      <c r="F37" s="5">
        <v>3638</v>
      </c>
      <c r="G37" s="5">
        <v>385117</v>
      </c>
    </row>
    <row r="38" spans="1:7">
      <c r="B38" s="2" t="s">
        <v>17</v>
      </c>
      <c r="C38" s="5">
        <v>174332</v>
      </c>
      <c r="D38" s="5">
        <v>3672</v>
      </c>
      <c r="E38" s="5">
        <v>1452</v>
      </c>
      <c r="F38" s="5">
        <v>2220</v>
      </c>
      <c r="G38" s="5">
        <v>248977</v>
      </c>
    </row>
    <row r="39" spans="1:7">
      <c r="B39" s="2" t="s">
        <v>19</v>
      </c>
      <c r="C39" s="5">
        <v>86916</v>
      </c>
      <c r="D39" s="5">
        <v>2476</v>
      </c>
      <c r="E39" s="5">
        <v>1173</v>
      </c>
      <c r="F39" s="5">
        <v>1303</v>
      </c>
      <c r="G39" s="5">
        <v>127765</v>
      </c>
    </row>
    <row r="40" spans="1:7" ht="30.75">
      <c r="B40" s="2" t="s">
        <v>20</v>
      </c>
      <c r="C40" s="5">
        <v>5606</v>
      </c>
      <c r="D40" s="5">
        <v>203</v>
      </c>
      <c r="E40" s="5">
        <v>88</v>
      </c>
      <c r="F40" s="5">
        <v>115</v>
      </c>
      <c r="G40" s="5">
        <v>8375</v>
      </c>
    </row>
  </sheetData>
  <mergeCells count="2">
    <mergeCell ref="D8:F8"/>
    <mergeCell ref="C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2026-04-14T15:05:24Z</dcterms:created>
  <dcterms:modified xsi:type="dcterms:W3CDTF">2026-04-14T15:23:06Z</dcterms:modified>
  <cp:category/>
  <cp:contentStatus/>
</cp:coreProperties>
</file>